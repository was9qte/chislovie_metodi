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од хорд" sheetId="1" state="visible" r:id="rId1"/>
    <sheet xmlns:r="http://schemas.openxmlformats.org/officeDocument/2006/relationships" name="Метод касательных" sheetId="2" state="visible" r:id="rId2"/>
    <sheet xmlns:r="http://schemas.openxmlformats.org/officeDocument/2006/relationships" name="Отделение корней" sheetId="3" state="visible" r:id="rId3"/>
    <sheet xmlns:r="http://schemas.openxmlformats.org/officeDocument/2006/relationships" name="Условия и ответ" sheetId="4" state="visible" r:id="rId4"/>
  </sheets>
  <definedNames>
    <definedName name="_xlnm._FilterDatabase" localSheetId="0" hidden="1">'Метод хорд'!$A$1:$H$17</definedName>
    <definedName name="_xlnm._FilterDatabase" localSheetId="1" hidden="1">'Метод касательных'!$A$1:$F$18</definedName>
    <definedName name="_xlnm._FilterDatabase" localSheetId="2" hidden="1">'Отделение корней'!$A$1:$E$14</definedName>
    <definedName name="_xlnm._FilterDatabase" localSheetId="3" hidden="1">'Условия и ответ'!$A$1:$B$12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b val="1"/>
      <color rgb="00FFFFFF"/>
    </font>
    <font>
      <name val="Arial"/>
      <color rgb="00222222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6B6C6"/>
      </left>
      <right style="thin">
        <color rgb="00A6B6C6"/>
      </right>
      <top style="thin">
        <color rgb="00A6B6C6"/>
      </top>
      <bottom style="thin">
        <color rgb="00A6B6C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28" customHeight="1">
      <c r="A1" s="1" t="inlineStr">
        <is>
          <t>Практическая работа № 3 — вариант 6. Метод хорд</t>
        </is>
      </c>
    </row>
    <row r="2">
      <c r="A2" s="2" t="inlineStr">
        <is>
          <t>Уравнение: f(x) = x³ + 3x² − 24x + 1 = 0; ε = 0,001</t>
        </is>
      </c>
    </row>
    <row r="3">
      <c r="A3" t="inlineStr">
        <is>
          <t>Выбран отрезок [0; 1]: f(0)=1, f(1)=−19, знаки разные. Неподвижный конец a=0.</t>
        </is>
      </c>
    </row>
    <row r="5" ht="32" customHeight="1">
      <c r="A5" s="3" t="inlineStr">
        <is>
          <t>Шаг n</t>
        </is>
      </c>
      <c r="B5" s="3" t="inlineStr">
        <is>
          <t>a (фикс.)</t>
        </is>
      </c>
      <c r="C5" s="3" t="inlineStr">
        <is>
          <t>bₙ</t>
        </is>
      </c>
      <c r="D5" s="3" t="inlineStr">
        <is>
          <t>f(a)</t>
        </is>
      </c>
      <c r="E5" s="3" t="inlineStr">
        <is>
          <t>f(bₙ)</t>
        </is>
      </c>
      <c r="F5" s="3" t="inlineStr">
        <is>
          <t>zₙ (хорда)</t>
        </is>
      </c>
      <c r="G5" s="3" t="inlineStr">
        <is>
          <t>f(zₙ)</t>
        </is>
      </c>
      <c r="H5" s="3" t="inlineStr">
        <is>
          <t>|zₙ−zₙ₋₁|</t>
        </is>
      </c>
    </row>
    <row r="6">
      <c r="A6" s="4" t="n">
        <v>1</v>
      </c>
      <c r="B6" s="4" t="n">
        <v>0</v>
      </c>
      <c r="C6" s="4" t="n">
        <v>1</v>
      </c>
      <c r="D6" s="5">
        <f>B6^3+3*B6^2-24*B6+1</f>
        <v/>
      </c>
      <c r="E6" s="5">
        <f>C6^3+3*C6^2-24*C6+1</f>
        <v/>
      </c>
      <c r="F6" s="5">
        <f>(B6*E6-C6*D6)/(E6-D6)</f>
        <v/>
      </c>
      <c r="G6" s="5">
        <f>F6^3+3*F6^2-24*F6+1</f>
        <v/>
      </c>
      <c r="H6" s="5">
        <f>ABS(F6-B6)</f>
        <v/>
      </c>
    </row>
    <row r="7">
      <c r="A7" s="6" t="n">
        <v>2</v>
      </c>
      <c r="B7" s="7">
        <f>B6</f>
        <v/>
      </c>
      <c r="C7" s="7">
        <f>F6</f>
        <v/>
      </c>
      <c r="D7" s="7">
        <f>B7^3+3*B7^2-24*B7+1</f>
        <v/>
      </c>
      <c r="E7" s="7">
        <f>C7^3+3*C7^2-24*C7+1</f>
        <v/>
      </c>
      <c r="F7" s="7">
        <f>(B7*E7-C7*D7)/(E7-D7)</f>
        <v/>
      </c>
      <c r="G7" s="7">
        <f>F7^3+3*F7^2-24*F7+1</f>
        <v/>
      </c>
      <c r="H7" s="7">
        <f>ABS(F7-F6)</f>
        <v/>
      </c>
    </row>
    <row r="8">
      <c r="A8" s="4" t="n">
        <v>3</v>
      </c>
      <c r="B8" s="5">
        <f>B6</f>
        <v/>
      </c>
      <c r="C8" s="5">
        <f>F7</f>
        <v/>
      </c>
      <c r="D8" s="5">
        <f>B8^3+3*B8^2-24*B8+1</f>
        <v/>
      </c>
      <c r="E8" s="5">
        <f>C8^3+3*C8^2-24*C8+1</f>
        <v/>
      </c>
      <c r="F8" s="5">
        <f>(B8*E8-C8*D8)/(E8-D8)</f>
        <v/>
      </c>
      <c r="G8" s="5">
        <f>F8^3+3*F8^2-24*F8+1</f>
        <v/>
      </c>
      <c r="H8" s="5">
        <f>ABS(F8-F7)</f>
        <v/>
      </c>
    </row>
    <row r="9">
      <c r="A9" s="6" t="n">
        <v>4</v>
      </c>
      <c r="B9" s="7">
        <f>B6</f>
        <v/>
      </c>
      <c r="C9" s="7">
        <f>F8</f>
        <v/>
      </c>
      <c r="D9" s="7">
        <f>B9^3+3*B9^2-24*B9+1</f>
        <v/>
      </c>
      <c r="E9" s="7">
        <f>C9^3+3*C9^2-24*C9+1</f>
        <v/>
      </c>
      <c r="F9" s="7">
        <f>(B9*E9-C9*D9)/(E9-D9)</f>
        <v/>
      </c>
      <c r="G9" s="7">
        <f>F9^3+3*F9^2-24*F9+1</f>
        <v/>
      </c>
      <c r="H9" s="7">
        <f>ABS(F9-F8)</f>
        <v/>
      </c>
    </row>
    <row r="10">
      <c r="A10" s="4" t="n">
        <v>5</v>
      </c>
      <c r="B10" s="5">
        <f>B6</f>
        <v/>
      </c>
      <c r="C10" s="5">
        <f>F9</f>
        <v/>
      </c>
      <c r="D10" s="5">
        <f>B10^3+3*B10^2-24*B10+1</f>
        <v/>
      </c>
      <c r="E10" s="5">
        <f>C10^3+3*C10^2-24*C10+1</f>
        <v/>
      </c>
      <c r="F10" s="5">
        <f>(B10*E10-C10*D10)/(E10-D10)</f>
        <v/>
      </c>
      <c r="G10" s="5">
        <f>F10^3+3*F10^2-24*F10+1</f>
        <v/>
      </c>
      <c r="H10" s="5">
        <f>ABS(F10-F9)</f>
        <v/>
      </c>
    </row>
    <row r="11">
      <c r="A11" s="6" t="n">
        <v>6</v>
      </c>
      <c r="B11" s="7">
        <f>B6</f>
        <v/>
      </c>
      <c r="C11" s="7">
        <f>F10</f>
        <v/>
      </c>
      <c r="D11" s="7">
        <f>B11^3+3*B11^2-24*B11+1</f>
        <v/>
      </c>
      <c r="E11" s="7">
        <f>C11^3+3*C11^2-24*C11+1</f>
        <v/>
      </c>
      <c r="F11" s="7">
        <f>(B11*E11-C11*D11)/(E11-D11)</f>
        <v/>
      </c>
      <c r="G11" s="7">
        <f>F11^3+3*F11^2-24*F11+1</f>
        <v/>
      </c>
      <c r="H11" s="7">
        <f>ABS(F11-F10)</f>
        <v/>
      </c>
    </row>
    <row r="12">
      <c r="A12" s="4" t="n">
        <v>7</v>
      </c>
      <c r="B12" s="5">
        <f>B6</f>
        <v/>
      </c>
      <c r="C12" s="5">
        <f>F11</f>
        <v/>
      </c>
      <c r="D12" s="5">
        <f>B12^3+3*B12^2-24*B12+1</f>
        <v/>
      </c>
      <c r="E12" s="5">
        <f>C12^3+3*C12^2-24*C12+1</f>
        <v/>
      </c>
      <c r="F12" s="5">
        <f>(B12*E12-C12*D12)/(E12-D12)</f>
        <v/>
      </c>
      <c r="G12" s="5">
        <f>F12^3+3*F12^2-24*F12+1</f>
        <v/>
      </c>
      <c r="H12" s="5">
        <f>ABS(F12-F11)</f>
        <v/>
      </c>
    </row>
    <row r="13">
      <c r="A13" s="6" t="n">
        <v>8</v>
      </c>
      <c r="B13" s="7">
        <f>B6</f>
        <v/>
      </c>
      <c r="C13" s="7">
        <f>F12</f>
        <v/>
      </c>
      <c r="D13" s="7">
        <f>B13^3+3*B13^2-24*B13+1</f>
        <v/>
      </c>
      <c r="E13" s="7">
        <f>C13^3+3*C13^2-24*C13+1</f>
        <v/>
      </c>
      <c r="F13" s="7">
        <f>(B13*E13-C13*D13)/(E13-D13)</f>
        <v/>
      </c>
      <c r="G13" s="7">
        <f>F13^3+3*F13^2-24*F13+1</f>
        <v/>
      </c>
      <c r="H13" s="7">
        <f>ABS(F13-F12)</f>
        <v/>
      </c>
    </row>
    <row r="14">
      <c r="A14" s="4" t="n">
        <v>9</v>
      </c>
      <c r="B14" s="5">
        <f>B6</f>
        <v/>
      </c>
      <c r="C14" s="5">
        <f>F13</f>
        <v/>
      </c>
      <c r="D14" s="5">
        <f>B14^3+3*B14^2-24*B14+1</f>
        <v/>
      </c>
      <c r="E14" s="5">
        <f>C14^3+3*C14^2-24*C14+1</f>
        <v/>
      </c>
      <c r="F14" s="5">
        <f>(B14*E14-C14*D14)/(E14-D14)</f>
        <v/>
      </c>
      <c r="G14" s="5">
        <f>F14^3+3*F14^2-24*F14+1</f>
        <v/>
      </c>
      <c r="H14" s="5">
        <f>ABS(F14-F13)</f>
        <v/>
      </c>
    </row>
    <row r="15">
      <c r="A15" s="6" t="n">
        <v>10</v>
      </c>
      <c r="B15" s="7">
        <f>B6</f>
        <v/>
      </c>
      <c r="C15" s="7">
        <f>F14</f>
        <v/>
      </c>
      <c r="D15" s="7">
        <f>B15^3+3*B15^2-24*B15+1</f>
        <v/>
      </c>
      <c r="E15" s="7">
        <f>C15^3+3*C15^2-24*C15+1</f>
        <v/>
      </c>
      <c r="F15" s="7">
        <f>(B15*E15-C15*D15)/(E15-D15)</f>
        <v/>
      </c>
      <c r="G15" s="7">
        <f>F15^3+3*F15^2-24*F15+1</f>
        <v/>
      </c>
      <c r="H15" s="7">
        <f>ABS(F15-F14)</f>
        <v/>
      </c>
    </row>
    <row r="17" ht="30" customHeight="1">
      <c r="A17" s="8" t="inlineStr">
        <is>
          <t>Критерий остановки: |zₙ − zₙ₋₁| ≤ 0,001. Корень получается примерно 0,041889 (3-й шаг).</t>
        </is>
      </c>
    </row>
  </sheetData>
  <autoFilter ref="A1:H17"/>
  <mergeCells count="4">
    <mergeCell ref="A3:H3"/>
    <mergeCell ref="A2:H2"/>
    <mergeCell ref="A17:H17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 ht="28" customHeight="1">
      <c r="A1" s="1" t="inlineStr">
        <is>
          <t>Практическая работа № 3 — вариант 6. Метод касательных</t>
        </is>
      </c>
    </row>
    <row r="2">
      <c r="A2" s="2" t="inlineStr">
        <is>
          <t>Уравнение: g(x) = x² − ln(x+1) = 0; ε = 0,001</t>
        </is>
      </c>
    </row>
    <row r="3">
      <c r="A3" s="9" t="inlineStr">
        <is>
          <t>Для положительного корня выбран отрезок [0,7; 0,8]; g(0,7)&lt;0, g(0,8)&gt;0. Начальное приближение x₀=0,8.</t>
        </is>
      </c>
    </row>
    <row r="5" ht="32" customHeight="1">
      <c r="A5" s="3" t="inlineStr">
        <is>
          <t>Итерация n</t>
        </is>
      </c>
      <c r="B5" s="3" t="inlineStr">
        <is>
          <t>xₙ</t>
        </is>
      </c>
      <c r="C5" s="3" t="inlineStr">
        <is>
          <t>g(xₙ)</t>
        </is>
      </c>
      <c r="D5" s="3" t="inlineStr">
        <is>
          <t>g′(xₙ)</t>
        </is>
      </c>
      <c r="E5" s="3" t="inlineStr">
        <is>
          <t>xₙ₊₁</t>
        </is>
      </c>
      <c r="F5" s="3" t="inlineStr">
        <is>
          <t>|xₙ₊₁−xₙ|</t>
        </is>
      </c>
    </row>
    <row r="6">
      <c r="A6" s="4" t="n">
        <v>0</v>
      </c>
      <c r="B6" s="4" t="n">
        <v>0.8</v>
      </c>
      <c r="C6" s="5">
        <f>B6^2-LN(B6+1)</f>
        <v/>
      </c>
      <c r="D6" s="5">
        <f>2*B6-1/(B6+1)</f>
        <v/>
      </c>
      <c r="E6" s="5">
        <f>B6-C6/D6</f>
        <v/>
      </c>
      <c r="F6" s="5">
        <f>ABS(E6-B6)</f>
        <v/>
      </c>
    </row>
    <row r="7">
      <c r="A7" s="6" t="n">
        <v>1</v>
      </c>
      <c r="B7" s="7">
        <f>E6</f>
        <v/>
      </c>
      <c r="C7" s="7">
        <f>B7^2-LN(B7+1)</f>
        <v/>
      </c>
      <c r="D7" s="7">
        <f>2*B7-1/(B7+1)</f>
        <v/>
      </c>
      <c r="E7" s="7">
        <f>B7-C7/D7</f>
        <v/>
      </c>
      <c r="F7" s="7">
        <f>ABS(E7-B7)</f>
        <v/>
      </c>
    </row>
    <row r="8">
      <c r="A8" s="4" t="n">
        <v>2</v>
      </c>
      <c r="B8" s="5">
        <f>E7</f>
        <v/>
      </c>
      <c r="C8" s="5">
        <f>B8^2-LN(B8+1)</f>
        <v/>
      </c>
      <c r="D8" s="5">
        <f>2*B8-1/(B8+1)</f>
        <v/>
      </c>
      <c r="E8" s="5">
        <f>B8-C8/D8</f>
        <v/>
      </c>
      <c r="F8" s="5">
        <f>ABS(E8-B8)</f>
        <v/>
      </c>
    </row>
    <row r="9">
      <c r="A9" s="6" t="n">
        <v>3</v>
      </c>
      <c r="B9" s="7">
        <f>E8</f>
        <v/>
      </c>
      <c r="C9" s="7">
        <f>B9^2-LN(B9+1)</f>
        <v/>
      </c>
      <c r="D9" s="7">
        <f>2*B9-1/(B9+1)</f>
        <v/>
      </c>
      <c r="E9" s="7">
        <f>B9-C9/D9</f>
        <v/>
      </c>
      <c r="F9" s="7">
        <f>ABS(E9-B9)</f>
        <v/>
      </c>
    </row>
    <row r="10">
      <c r="A10" s="4" t="n">
        <v>4</v>
      </c>
      <c r="B10" s="5">
        <f>E9</f>
        <v/>
      </c>
      <c r="C10" s="5">
        <f>B10^2-LN(B10+1)</f>
        <v/>
      </c>
      <c r="D10" s="5">
        <f>2*B10-1/(B10+1)</f>
        <v/>
      </c>
      <c r="E10" s="5">
        <f>B10-C10/D10</f>
        <v/>
      </c>
      <c r="F10" s="5">
        <f>ABS(E10-B10)</f>
        <v/>
      </c>
    </row>
    <row r="11">
      <c r="A11" s="6" t="n">
        <v>5</v>
      </c>
      <c r="B11" s="7">
        <f>E10</f>
        <v/>
      </c>
      <c r="C11" s="7">
        <f>B11^2-LN(B11+1)</f>
        <v/>
      </c>
      <c r="D11" s="7">
        <f>2*B11-1/(B11+1)</f>
        <v/>
      </c>
      <c r="E11" s="7">
        <f>B11-C11/D11</f>
        <v/>
      </c>
      <c r="F11" s="7">
        <f>ABS(E11-B11)</f>
        <v/>
      </c>
    </row>
    <row r="12">
      <c r="A12" s="4" t="n">
        <v>6</v>
      </c>
      <c r="B12" s="5">
        <f>E11</f>
        <v/>
      </c>
      <c r="C12" s="5">
        <f>B12^2-LN(B12+1)</f>
        <v/>
      </c>
      <c r="D12" s="5">
        <f>2*B12-1/(B12+1)</f>
        <v/>
      </c>
      <c r="E12" s="5">
        <f>B12-C12/D12</f>
        <v/>
      </c>
      <c r="F12" s="5">
        <f>ABS(E12-B12)</f>
        <v/>
      </c>
    </row>
    <row r="13">
      <c r="A13" s="6" t="n">
        <v>7</v>
      </c>
      <c r="B13" s="7">
        <f>E12</f>
        <v/>
      </c>
      <c r="C13" s="7">
        <f>B13^2-LN(B13+1)</f>
        <v/>
      </c>
      <c r="D13" s="7">
        <f>2*B13-1/(B13+1)</f>
        <v/>
      </c>
      <c r="E13" s="7">
        <f>B13-C13/D13</f>
        <v/>
      </c>
      <c r="F13" s="7">
        <f>ABS(E13-B13)</f>
        <v/>
      </c>
    </row>
    <row r="14">
      <c r="A14" s="4" t="n">
        <v>8</v>
      </c>
      <c r="B14" s="5">
        <f>E13</f>
        <v/>
      </c>
      <c r="C14" s="5">
        <f>B14^2-LN(B14+1)</f>
        <v/>
      </c>
      <c r="D14" s="5">
        <f>2*B14-1/(B14+1)</f>
        <v/>
      </c>
      <c r="E14" s="5">
        <f>B14-C14/D14</f>
        <v/>
      </c>
      <c r="F14" s="5">
        <f>ABS(E14-B14)</f>
        <v/>
      </c>
    </row>
    <row r="15">
      <c r="A15" s="6" t="n">
        <v>9</v>
      </c>
      <c r="B15" s="7">
        <f>E14</f>
        <v/>
      </c>
      <c r="C15" s="7">
        <f>B15^2-LN(B15+1)</f>
        <v/>
      </c>
      <c r="D15" s="7">
        <f>2*B15-1/(B15+1)</f>
        <v/>
      </c>
      <c r="E15" s="7">
        <f>B15-C15/D15</f>
        <v/>
      </c>
      <c r="F15" s="7">
        <f>ABS(E15-B15)</f>
        <v/>
      </c>
    </row>
    <row r="17" ht="32" customHeight="1">
      <c r="A17" s="8" t="inlineStr">
        <is>
          <t>Критерий остановки: |xₙ₊₁ − xₙ| ≤ 0,001. Положительный корень ≈ 0,746882; условие выполняется на 4-м шаге.</t>
        </is>
      </c>
    </row>
    <row r="18" ht="32" customHeight="1">
      <c r="A18" s="10" t="inlineStr">
        <is>
          <t>Примечание: уравнение также имеет точный корень x=0; здесь уточняется положительный корень на [0,7; 0,8].</t>
        </is>
      </c>
    </row>
  </sheetData>
  <autoFilter ref="A1:F18"/>
  <mergeCells count="5">
    <mergeCell ref="A2:E2"/>
    <mergeCell ref="A1:F1"/>
    <mergeCell ref="A17:F17"/>
    <mergeCell ref="A18:F18"/>
    <mergeCell ref="A3:E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 ht="28" customHeight="1">
      <c r="A1" s="1" t="inlineStr">
        <is>
          <t>Отделение корней и проверка знаков</t>
        </is>
      </c>
    </row>
    <row r="2">
      <c r="A2" t="inlineStr">
        <is>
          <t>Задание 4.1: f(x)=x³+3x²−24x+1</t>
        </is>
      </c>
    </row>
    <row r="4" ht="32" customHeight="1">
      <c r="A4" s="3" t="inlineStr">
        <is>
          <t>Интервал / x</t>
        </is>
      </c>
      <c r="B4" s="3" t="inlineStr">
        <is>
          <t>f(x) или g(x)</t>
        </is>
      </c>
      <c r="C4" s="3" t="inlineStr">
        <is>
          <t>Знак / вывод</t>
        </is>
      </c>
      <c r="D4" s="3" t="inlineStr">
        <is>
          <t>Метод</t>
        </is>
      </c>
      <c r="E4" s="3" t="inlineStr">
        <is>
          <t>Примечание</t>
        </is>
      </c>
    </row>
    <row r="5">
      <c r="A5" s="6" t="inlineStr">
        <is>
          <t>x = −7</t>
        </is>
      </c>
      <c r="B5" s="7">
        <f>(-7)^3+3*(-7)^2-24*(-7)+1</f>
        <v/>
      </c>
      <c r="C5" s="6" t="inlineStr">
        <is>
          <t>положительный</t>
        </is>
      </c>
      <c r="D5" s="6" t="inlineStr">
        <is>
          <t>4.1</t>
        </is>
      </c>
      <c r="E5" s="6" t="inlineStr">
        <is>
          <t>f(−7)=?</t>
        </is>
      </c>
    </row>
    <row r="6">
      <c r="A6" s="4" t="inlineStr">
        <is>
          <t>x = −6</t>
        </is>
      </c>
      <c r="B6" s="5">
        <f>(-6)^3+3*(-6)^2-24*(-6)+1</f>
        <v/>
      </c>
      <c r="C6" s="4" t="inlineStr">
        <is>
          <t>отрицательный</t>
        </is>
      </c>
      <c r="D6" s="4" t="inlineStr">
        <is>
          <t>4.1</t>
        </is>
      </c>
      <c r="E6" s="4" t="inlineStr">
        <is>
          <t>Корень на [−7; −6]</t>
        </is>
      </c>
    </row>
    <row r="7">
      <c r="A7" s="6" t="inlineStr">
        <is>
          <t>x = 0</t>
        </is>
      </c>
      <c r="B7" s="7">
        <f>0^3+3*0^2-24*0+1</f>
        <v/>
      </c>
      <c r="C7" s="6" t="inlineStr">
        <is>
          <t>положительный</t>
        </is>
      </c>
      <c r="D7" s="6" t="inlineStr">
        <is>
          <t>4.1</t>
        </is>
      </c>
      <c r="E7" s="6" t="inlineStr"/>
    </row>
    <row r="8">
      <c r="A8" s="4" t="inlineStr">
        <is>
          <t>x = 1</t>
        </is>
      </c>
      <c r="B8" s="5">
        <f>1^3+3*1^2-24*1+1</f>
        <v/>
      </c>
      <c r="C8" s="4" t="inlineStr">
        <is>
          <t>отрицательный</t>
        </is>
      </c>
      <c r="D8" s="4" t="inlineStr">
        <is>
          <t>4.1</t>
        </is>
      </c>
      <c r="E8" s="4" t="inlineStr">
        <is>
          <t>Корень на [0; 1]</t>
        </is>
      </c>
    </row>
    <row r="9">
      <c r="A9" s="6" t="inlineStr">
        <is>
          <t>x = 3</t>
        </is>
      </c>
      <c r="B9" s="7">
        <f>3^3+3*3^2-24*3+1</f>
        <v/>
      </c>
      <c r="C9" s="6" t="inlineStr">
        <is>
          <t>отрицательный</t>
        </is>
      </c>
      <c r="D9" s="6" t="inlineStr">
        <is>
          <t>4.1</t>
        </is>
      </c>
      <c r="E9" s="6" t="inlineStr"/>
    </row>
    <row r="10">
      <c r="A10" s="4" t="inlineStr">
        <is>
          <t>x = 4</t>
        </is>
      </c>
      <c r="B10" s="5">
        <f>4^3+3*4^2-24*4+1</f>
        <v/>
      </c>
      <c r="C10" s="4" t="inlineStr">
        <is>
          <t>положительный</t>
        </is>
      </c>
      <c r="D10" s="4" t="inlineStr">
        <is>
          <t>4.1</t>
        </is>
      </c>
      <c r="E10" s="4" t="inlineStr">
        <is>
          <t>Корень на [3; 4]</t>
        </is>
      </c>
    </row>
    <row r="11">
      <c r="A11" s="6" t="inlineStr">
        <is>
          <t>x = 0,7</t>
        </is>
      </c>
      <c r="B11" s="7">
        <f>0.7^2-LN(0.7+1)</f>
        <v/>
      </c>
      <c r="C11" s="6" t="inlineStr">
        <is>
          <t>отрицательный</t>
        </is>
      </c>
      <c r="D11" s="6" t="inlineStr">
        <is>
          <t>4.2</t>
        </is>
      </c>
      <c r="E11" s="6" t="inlineStr">
        <is>
          <t>g(0,7)&lt;0</t>
        </is>
      </c>
    </row>
    <row r="12">
      <c r="A12" s="4" t="inlineStr">
        <is>
          <t>x = 0,8</t>
        </is>
      </c>
      <c r="B12" s="5">
        <f>0.8^2-LN(0.8+1)</f>
        <v/>
      </c>
      <c r="C12" s="4" t="inlineStr">
        <is>
          <t>положительный</t>
        </is>
      </c>
      <c r="D12" s="4" t="inlineStr">
        <is>
          <t>4.2</t>
        </is>
      </c>
      <c r="E12" s="4" t="inlineStr">
        <is>
          <t>Корень на [0,7; 0,8]</t>
        </is>
      </c>
    </row>
    <row r="14" ht="45" customHeight="1">
      <c r="A14" s="8" t="inlineStr">
        <is>
          <t>Итог: для 4.1 три действительных корня, изолированные на [−7;−6], [0;1], [3;4]. Для 4.2 выбран положительный корень на [0,7;0,8].</t>
        </is>
      </c>
    </row>
  </sheetData>
  <autoFilter ref="A1:E14"/>
  <mergeCells count="3">
    <mergeCell ref="A2:E2"/>
    <mergeCell ref="A1:E1"/>
    <mergeCell ref="A14:E14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8" customHeight="1">
      <c r="A1" s="1" t="inlineStr">
        <is>
          <t>Условия задания и итоговые ответы</t>
        </is>
      </c>
    </row>
    <row r="3" ht="32" customHeight="1">
      <c r="A3" s="11" t="inlineStr">
        <is>
          <t>Дисциплина</t>
        </is>
      </c>
      <c r="B3" s="12" t="inlineStr">
        <is>
          <t>Численные методы</t>
        </is>
      </c>
    </row>
    <row r="4" ht="32" customHeight="1">
      <c r="A4" s="13" t="inlineStr">
        <is>
          <t>Работа</t>
        </is>
      </c>
      <c r="B4" s="14" t="inlineStr">
        <is>
          <t>Практическая работа № 3. Решение алгебраических и трансцендентных уравнений методами хорд и касательных</t>
        </is>
      </c>
    </row>
    <row r="5" ht="32" customHeight="1">
      <c r="A5" s="11" t="inlineStr">
        <is>
          <t>Вариант</t>
        </is>
      </c>
      <c r="B5" s="12" t="inlineStr">
        <is>
          <t>6</t>
        </is>
      </c>
    </row>
    <row r="6" ht="32" customHeight="1">
      <c r="A6" s="13" t="inlineStr">
        <is>
          <t>Задание 4.1</t>
        </is>
      </c>
      <c r="B6" s="14" t="inlineStr">
        <is>
          <t>x³ + 3x² − 24x + 1 = 0</t>
        </is>
      </c>
    </row>
    <row r="7" ht="32" customHeight="1">
      <c r="A7" s="11" t="inlineStr">
        <is>
          <t>Корни 4.1 (MathCad / численно)</t>
        </is>
      </c>
      <c r="B7" s="12" t="inlineStr">
        <is>
          <t>x₁ ≈ −6,638156; x₂ ≈ 0,041889; x₃ ≈ 3,596267</t>
        </is>
      </c>
    </row>
    <row r="8" ht="32" customHeight="1">
      <c r="A8" s="13" t="inlineStr">
        <is>
          <t>Корень, уточнённый методом хорд</t>
        </is>
      </c>
      <c r="B8" s="14" t="inlineStr">
        <is>
          <t>На [0;1], x ≈ 0,041889; ε = 0,001; 3-й шаг</t>
        </is>
      </c>
    </row>
    <row r="9" ht="32" customHeight="1">
      <c r="A9" s="11" t="inlineStr">
        <is>
          <t>Задание 4.2</t>
        </is>
      </c>
      <c r="B9" s="12" t="inlineStr">
        <is>
          <t>x² = ln(x + 1), то есть g(x)=x²−ln(x+1)=0</t>
        </is>
      </c>
    </row>
    <row r="10" ht="32" customHeight="1">
      <c r="A10" s="13" t="inlineStr">
        <is>
          <t>Корень, уточнённый методом касательных</t>
        </is>
      </c>
      <c r="B10" s="14" t="inlineStr">
        <is>
          <t>На [0,7;0,8], положительный корень x ≈ 0,746882; ε = 0,001; 4-й шаг</t>
        </is>
      </c>
    </row>
    <row r="11" ht="32" customHeight="1">
      <c r="A11" s="11" t="inlineStr">
        <is>
          <t>Дополнение</t>
        </is>
      </c>
      <c r="B11" s="12" t="inlineStr">
        <is>
          <t>Уравнение 4.2 также имеет точный корень x=0. В Excel уточняется положительный корень на выбранном отрезке.</t>
        </is>
      </c>
    </row>
    <row r="12" ht="32" customHeight="1">
      <c r="A12" s="13" t="inlineStr">
        <is>
          <t>Цель работы</t>
        </is>
      </c>
      <c r="B12" s="14" t="inlineStr">
        <is>
          <t>Формирование умения решать уравнения методами хорд и касательных, делать соответствующие выводы.</t>
        </is>
      </c>
    </row>
  </sheetData>
  <autoFilter ref="A1:B12"/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2026-10-26T17:51:06Z</dcterms:created>
  <dcterms:modified xmlns:dcterms="http://purl.org/dc/terms/" xmlns:xsi="http://www.w3.org/2001/XMLSchema-instance" xsi:type="dcterms:W3CDTF">2026-10-26T17:51:06Z</dcterms:modified>
</cp:coreProperties>
</file>